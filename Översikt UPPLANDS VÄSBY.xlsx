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33062-2023</t>
        </is>
      </c>
      <c r="B2" s="1" t="n">
        <v>45113</v>
      </c>
      <c r="C2" s="1" t="n">
        <v>45730</v>
      </c>
      <c r="D2" t="inlineStr">
        <is>
          <t>STOCKHOLMS LÄN</t>
        </is>
      </c>
      <c r="E2" t="inlineStr">
        <is>
          <t>UPPLANDS VÄSBY</t>
        </is>
      </c>
      <c r="G2" t="n">
        <v>3.9</v>
      </c>
      <c r="H2" t="n">
        <v>2</v>
      </c>
      <c r="I2" t="n">
        <v>5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17</v>
      </c>
      <c r="R2" s="2" t="inlineStr">
        <is>
          <t>Grangråticka
Koppartaggsvamp
Barrviolspindling
Blå taggsvamp
Flattoppad klubbsvamp
Kandelabersvamp
Orange taggsvamp
Rosenticka
Svart taggsvamp
Svartvit taggsvamp
Ullticka
Dropptaggsvamp
Fjällig taggsvamp s.str.
Grön sköldmossa
Grönpyrola
Svavelriska
Blåsippa</t>
        </is>
      </c>
      <c r="S2">
        <f>HYPERLINK("https://klasma.github.io/Logging_0114/artfynd/A 33062-2023 artfynd.xlsx", "A 33062-2023")</f>
        <v/>
      </c>
      <c r="T2">
        <f>HYPERLINK("https://klasma.github.io/Logging_0114/kartor/A 33062-2023 karta.png", "A 33062-2023")</f>
        <v/>
      </c>
      <c r="V2">
        <f>HYPERLINK("https://klasma.github.io/Logging_0114/klagomål/A 33062-2023 FSC-klagomål.docx", "A 33062-2023")</f>
        <v/>
      </c>
      <c r="W2">
        <f>HYPERLINK("https://klasma.github.io/Logging_0114/klagomålsmail/A 33062-2023 FSC-klagomål mail.docx", "A 33062-2023")</f>
        <v/>
      </c>
      <c r="X2">
        <f>HYPERLINK("https://klasma.github.io/Logging_0114/tillsyn/A 33062-2023 tillsynsbegäran.docx", "A 33062-2023")</f>
        <v/>
      </c>
      <c r="Y2">
        <f>HYPERLINK("https://klasma.github.io/Logging_0114/tillsynsmail/A 33062-2023 tillsynsbegäran mail.docx", "A 33062-2023")</f>
        <v/>
      </c>
    </row>
    <row r="3" ht="15" customHeight="1">
      <c r="A3" t="inlineStr">
        <is>
          <t>A 1061-2022</t>
        </is>
      </c>
      <c r="B3" s="1" t="n">
        <v>44571</v>
      </c>
      <c r="C3" s="1" t="n">
        <v>45730</v>
      </c>
      <c r="D3" t="inlineStr">
        <is>
          <t>STOCKHOLMS LÄN</t>
        </is>
      </c>
      <c r="E3" t="inlineStr">
        <is>
          <t>UPPLANDS VÄSBY</t>
        </is>
      </c>
      <c r="G3" t="n">
        <v>5.3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Blomkålssvamp
Blåsippa</t>
        </is>
      </c>
      <c r="S3">
        <f>HYPERLINK("https://klasma.github.io/Logging_0114/artfynd/A 1061-2022 artfynd.xlsx", "A 1061-2022")</f>
        <v/>
      </c>
      <c r="T3">
        <f>HYPERLINK("https://klasma.github.io/Logging_0114/kartor/A 1061-2022 karta.png", "A 1061-2022")</f>
        <v/>
      </c>
      <c r="V3">
        <f>HYPERLINK("https://klasma.github.io/Logging_0114/klagomål/A 1061-2022 FSC-klagomål.docx", "A 1061-2022")</f>
        <v/>
      </c>
      <c r="W3">
        <f>HYPERLINK("https://klasma.github.io/Logging_0114/klagomålsmail/A 1061-2022 FSC-klagomål mail.docx", "A 1061-2022")</f>
        <v/>
      </c>
      <c r="X3">
        <f>HYPERLINK("https://klasma.github.io/Logging_0114/tillsyn/A 1061-2022 tillsynsbegäran.docx", "A 1061-2022")</f>
        <v/>
      </c>
      <c r="Y3">
        <f>HYPERLINK("https://klasma.github.io/Logging_0114/tillsynsmail/A 1061-2022 tillsynsbegäran mail.docx", "A 1061-2022")</f>
        <v/>
      </c>
    </row>
    <row r="4" ht="15" customHeight="1">
      <c r="A4" t="inlineStr">
        <is>
          <t>A 1036-2024</t>
        </is>
      </c>
      <c r="B4" s="1" t="n">
        <v>45301</v>
      </c>
      <c r="C4" s="1" t="n">
        <v>45730</v>
      </c>
      <c r="D4" t="inlineStr">
        <is>
          <t>STOCKHOLMS LÄN</t>
        </is>
      </c>
      <c r="E4" t="inlineStr">
        <is>
          <t>UPPLANDS VÄSBY</t>
        </is>
      </c>
      <c r="G4" t="n">
        <v>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Vedticka
Revlummer</t>
        </is>
      </c>
      <c r="S4">
        <f>HYPERLINK("https://klasma.github.io/Logging_0114/artfynd/A 1036-2024 artfynd.xlsx", "A 1036-2024")</f>
        <v/>
      </c>
      <c r="T4">
        <f>HYPERLINK("https://klasma.github.io/Logging_0114/kartor/A 1036-2024 karta.png", "A 1036-2024")</f>
        <v/>
      </c>
      <c r="V4">
        <f>HYPERLINK("https://klasma.github.io/Logging_0114/klagomål/A 1036-2024 FSC-klagomål.docx", "A 1036-2024")</f>
        <v/>
      </c>
      <c r="W4">
        <f>HYPERLINK("https://klasma.github.io/Logging_0114/klagomålsmail/A 1036-2024 FSC-klagomål mail.docx", "A 1036-2024")</f>
        <v/>
      </c>
      <c r="X4">
        <f>HYPERLINK("https://klasma.github.io/Logging_0114/tillsyn/A 1036-2024 tillsynsbegäran.docx", "A 1036-2024")</f>
        <v/>
      </c>
      <c r="Y4">
        <f>HYPERLINK("https://klasma.github.io/Logging_0114/tillsynsmail/A 1036-2024 tillsynsbegäran mail.docx", "A 1036-2024")</f>
        <v/>
      </c>
    </row>
    <row r="5" ht="15" customHeight="1">
      <c r="A5" t="inlineStr">
        <is>
          <t>A 64441-2023</t>
        </is>
      </c>
      <c r="B5" s="1" t="n">
        <v>45280</v>
      </c>
      <c r="C5" s="1" t="n">
        <v>45730</v>
      </c>
      <c r="D5" t="inlineStr">
        <is>
          <t>STOCKHOLMS LÄN</t>
        </is>
      </c>
      <c r="E5" t="inlineStr">
        <is>
          <t>UPPLANDS VÄSBY</t>
        </is>
      </c>
      <c r="G5" t="n">
        <v>6.4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Säfferot</t>
        </is>
      </c>
      <c r="S5">
        <f>HYPERLINK("https://klasma.github.io/Logging_0114/artfynd/A 64441-2023 artfynd.xlsx", "A 64441-2023")</f>
        <v/>
      </c>
      <c r="T5">
        <f>HYPERLINK("https://klasma.github.io/Logging_0114/kartor/A 64441-2023 karta.png", "A 64441-2023")</f>
        <v/>
      </c>
      <c r="V5">
        <f>HYPERLINK("https://klasma.github.io/Logging_0114/klagomål/A 64441-2023 FSC-klagomål.docx", "A 64441-2023")</f>
        <v/>
      </c>
      <c r="W5">
        <f>HYPERLINK("https://klasma.github.io/Logging_0114/klagomålsmail/A 64441-2023 FSC-klagomål mail.docx", "A 64441-2023")</f>
        <v/>
      </c>
      <c r="X5">
        <f>HYPERLINK("https://klasma.github.io/Logging_0114/tillsyn/A 64441-2023 tillsynsbegäran.docx", "A 64441-2023")</f>
        <v/>
      </c>
      <c r="Y5">
        <f>HYPERLINK("https://klasma.github.io/Logging_0114/tillsynsmail/A 64441-2023 tillsynsbegäran mail.docx", "A 64441-2023")</f>
        <v/>
      </c>
    </row>
    <row r="6" ht="15" customHeight="1">
      <c r="A6" t="inlineStr">
        <is>
          <t>A 37365-2019</t>
        </is>
      </c>
      <c r="B6" s="1" t="n">
        <v>43678</v>
      </c>
      <c r="C6" s="1" t="n">
        <v>45730</v>
      </c>
      <c r="D6" t="inlineStr">
        <is>
          <t>STOCKHOLMS LÄN</t>
        </is>
      </c>
      <c r="E6" t="inlineStr">
        <is>
          <t>UPPLANDS VÄSBY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12987-2020</t>
        </is>
      </c>
      <c r="B7" s="1" t="n">
        <v>43900</v>
      </c>
      <c r="C7" s="1" t="n">
        <v>45730</v>
      </c>
      <c r="D7" t="inlineStr">
        <is>
          <t>STOCKHOLMS LÄN</t>
        </is>
      </c>
      <c r="E7" t="inlineStr">
        <is>
          <t>UPPLANDS VÄSBY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12984-2020</t>
        </is>
      </c>
      <c r="B8" s="1" t="n">
        <v>43900</v>
      </c>
      <c r="C8" s="1" t="n">
        <v>45730</v>
      </c>
      <c r="D8" t="inlineStr">
        <is>
          <t>STOCKHOLMS LÄN</t>
        </is>
      </c>
      <c r="E8" t="inlineStr">
        <is>
          <t>UPPLANDS VÄSBY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24221-2021</t>
        </is>
      </c>
      <c r="B9" s="1" t="n">
        <v>44336</v>
      </c>
      <c r="C9" s="1" t="n">
        <v>45730</v>
      </c>
      <c r="D9" t="inlineStr">
        <is>
          <t>STOCKHOLMS LÄN</t>
        </is>
      </c>
      <c r="E9" t="inlineStr">
        <is>
          <t>UPPLANDS VÄSBY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1057-2022</t>
        </is>
      </c>
      <c r="B10" s="1" t="n">
        <v>44571</v>
      </c>
      <c r="C10" s="1" t="n">
        <v>45730</v>
      </c>
      <c r="D10" t="inlineStr">
        <is>
          <t>STOCKHOLMS LÄN</t>
        </is>
      </c>
      <c r="E10" t="inlineStr">
        <is>
          <t>UPPLANDS VÄSBY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1053-2022</t>
        </is>
      </c>
      <c r="B11" s="1" t="n">
        <v>44571</v>
      </c>
      <c r="C11" s="1" t="n">
        <v>45730</v>
      </c>
      <c r="D11" t="inlineStr">
        <is>
          <t>STOCKHOLMS LÄN</t>
        </is>
      </c>
      <c r="E11" t="inlineStr">
        <is>
          <t>UPPLANDS VÄSBY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1062-2022</t>
        </is>
      </c>
      <c r="B12" s="1" t="n">
        <v>44571</v>
      </c>
      <c r="C12" s="1" t="n">
        <v>45730</v>
      </c>
      <c r="D12" t="inlineStr">
        <is>
          <t>STOCKHOLMS LÄN</t>
        </is>
      </c>
      <c r="E12" t="inlineStr">
        <is>
          <t>UPPLANDS VÄSBY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8748-2022</t>
        </is>
      </c>
      <c r="B13" s="1" t="n">
        <v>44613</v>
      </c>
      <c r="C13" s="1" t="n">
        <v>45730</v>
      </c>
      <c r="D13" t="inlineStr">
        <is>
          <t>STOCKHOLMS LÄN</t>
        </is>
      </c>
      <c r="E13" t="inlineStr">
        <is>
          <t>UPPLANDS VÄSBY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8746-2022</t>
        </is>
      </c>
      <c r="B14" s="1" t="n">
        <v>44613</v>
      </c>
      <c r="C14" s="1" t="n">
        <v>45730</v>
      </c>
      <c r="D14" t="inlineStr">
        <is>
          <t>STOCKHOLMS LÄN</t>
        </is>
      </c>
      <c r="E14" t="inlineStr">
        <is>
          <t>UPPLANDS VÄSBY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19337-2022</t>
        </is>
      </c>
      <c r="B15" s="1" t="n">
        <v>44692</v>
      </c>
      <c r="C15" s="1" t="n">
        <v>45730</v>
      </c>
      <c r="D15" t="inlineStr">
        <is>
          <t>STOCKHOLMS LÄN</t>
        </is>
      </c>
      <c r="E15" t="inlineStr">
        <is>
          <t>UPPLANDS VÄSBY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27724-2022</t>
        </is>
      </c>
      <c r="B16" s="1" t="n">
        <v>44743</v>
      </c>
      <c r="C16" s="1" t="n">
        <v>45730</v>
      </c>
      <c r="D16" t="inlineStr">
        <is>
          <t>STOCKHOLMS LÄN</t>
        </is>
      </c>
      <c r="E16" t="inlineStr">
        <is>
          <t>UPPLANDS VÄSBY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43873-2022</t>
        </is>
      </c>
      <c r="B17" s="1" t="n">
        <v>44838</v>
      </c>
      <c r="C17" s="1" t="n">
        <v>45730</v>
      </c>
      <c r="D17" t="inlineStr">
        <is>
          <t>STOCKHOLMS LÄN</t>
        </is>
      </c>
      <c r="E17" t="inlineStr">
        <is>
          <t>UPPLANDS VÄSBY</t>
        </is>
      </c>
      <c r="G17" t="n">
        <v>8.6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46826-2022</t>
        </is>
      </c>
      <c r="B18" s="1" t="n">
        <v>44848</v>
      </c>
      <c r="C18" s="1" t="n">
        <v>45730</v>
      </c>
      <c r="D18" t="inlineStr">
        <is>
          <t>STOCKHOLMS LÄN</t>
        </is>
      </c>
      <c r="E18" t="inlineStr">
        <is>
          <t>UPPLANDS VÄSBY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31120-2023</t>
        </is>
      </c>
      <c r="B19" s="1" t="n">
        <v>45113</v>
      </c>
      <c r="C19" s="1" t="n">
        <v>45730</v>
      </c>
      <c r="D19" t="inlineStr">
        <is>
          <t>STOCKHOLMS LÄN</t>
        </is>
      </c>
      <c r="E19" t="inlineStr">
        <is>
          <t>UPPLANDS VÄSBY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33066-2023</t>
        </is>
      </c>
      <c r="B20" s="1" t="n">
        <v>45113</v>
      </c>
      <c r="C20" s="1" t="n">
        <v>45730</v>
      </c>
      <c r="D20" t="inlineStr">
        <is>
          <t>STOCKHOLMS LÄN</t>
        </is>
      </c>
      <c r="E20" t="inlineStr">
        <is>
          <t>UPPLANDS VÄSBY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33069-2023</t>
        </is>
      </c>
      <c r="B21" s="1" t="n">
        <v>45113</v>
      </c>
      <c r="C21" s="1" t="n">
        <v>45730</v>
      </c>
      <c r="D21" t="inlineStr">
        <is>
          <t>STOCKHOLMS LÄN</t>
        </is>
      </c>
      <c r="E21" t="inlineStr">
        <is>
          <t>UPPLANDS VÄSBY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47602-2023</t>
        </is>
      </c>
      <c r="B22" s="1" t="n">
        <v>45203</v>
      </c>
      <c r="C22" s="1" t="n">
        <v>45730</v>
      </c>
      <c r="D22" t="inlineStr">
        <is>
          <t>STOCKHOLMS LÄN</t>
        </is>
      </c>
      <c r="E22" t="inlineStr">
        <is>
          <t>UPPLANDS VÄSBY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64431-2023</t>
        </is>
      </c>
      <c r="B23" s="1" t="n">
        <v>45280</v>
      </c>
      <c r="C23" s="1" t="n">
        <v>45730</v>
      </c>
      <c r="D23" t="inlineStr">
        <is>
          <t>STOCKHOLMS LÄN</t>
        </is>
      </c>
      <c r="E23" t="inlineStr">
        <is>
          <t>UPPLANDS VÄSBY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64439-2023</t>
        </is>
      </c>
      <c r="B24" s="1" t="n">
        <v>45280</v>
      </c>
      <c r="C24" s="1" t="n">
        <v>45730</v>
      </c>
      <c r="D24" t="inlineStr">
        <is>
          <t>STOCKHOLMS LÄN</t>
        </is>
      </c>
      <c r="E24" t="inlineStr">
        <is>
          <t>UPPLANDS VÄSBY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64443-2023</t>
        </is>
      </c>
      <c r="B25" s="1" t="n">
        <v>45280</v>
      </c>
      <c r="C25" s="1" t="n">
        <v>45730</v>
      </c>
      <c r="D25" t="inlineStr">
        <is>
          <t>STOCKHOLMS LÄN</t>
        </is>
      </c>
      <c r="E25" t="inlineStr">
        <is>
          <t>UPPLANDS VÄSBY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64444-2023</t>
        </is>
      </c>
      <c r="B26" s="1" t="n">
        <v>45280</v>
      </c>
      <c r="C26" s="1" t="n">
        <v>45730</v>
      </c>
      <c r="D26" t="inlineStr">
        <is>
          <t>STOCKHOLMS LÄN</t>
        </is>
      </c>
      <c r="E26" t="inlineStr">
        <is>
          <t>UPPLANDS VÄSBY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64445-2023</t>
        </is>
      </c>
      <c r="B27" s="1" t="n">
        <v>45280</v>
      </c>
      <c r="C27" s="1" t="n">
        <v>45730</v>
      </c>
      <c r="D27" t="inlineStr">
        <is>
          <t>STOCKHOLMS LÄN</t>
        </is>
      </c>
      <c r="E27" t="inlineStr">
        <is>
          <t>UPPLANDS VÄSBY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50857-2024</t>
        </is>
      </c>
      <c r="B28" s="1" t="n">
        <v>45601</v>
      </c>
      <c r="C28" s="1" t="n">
        <v>45730</v>
      </c>
      <c r="D28" t="inlineStr">
        <is>
          <t>STOCKHOLMS LÄN</t>
        </is>
      </c>
      <c r="E28" t="inlineStr">
        <is>
          <t>UPPLANDS VÄSBY</t>
        </is>
      </c>
      <c r="F28" t="inlineStr">
        <is>
          <t>Kommuner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50935-2024</t>
        </is>
      </c>
      <c r="B29" s="1" t="n">
        <v>45602</v>
      </c>
      <c r="C29" s="1" t="n">
        <v>45730</v>
      </c>
      <c r="D29" t="inlineStr">
        <is>
          <t>STOCKHOLMS LÄN</t>
        </is>
      </c>
      <c r="E29" t="inlineStr">
        <is>
          <t>UPPLANDS VÄSBY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50934-2024</t>
        </is>
      </c>
      <c r="B30" s="1" t="n">
        <v>45602</v>
      </c>
      <c r="C30" s="1" t="n">
        <v>45730</v>
      </c>
      <c r="D30" t="inlineStr">
        <is>
          <t>STOCKHOLMS LÄN</t>
        </is>
      </c>
      <c r="E30" t="inlineStr">
        <is>
          <t>UPPLANDS VÄSBY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50933-2024</t>
        </is>
      </c>
      <c r="B31" s="1" t="n">
        <v>45602</v>
      </c>
      <c r="C31" s="1" t="n">
        <v>45730</v>
      </c>
      <c r="D31" t="inlineStr">
        <is>
          <t>STOCKHOLMS LÄN</t>
        </is>
      </c>
      <c r="E31" t="inlineStr">
        <is>
          <t>UPPLANDS VÄSBY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>
      <c r="A32" t="inlineStr">
        <is>
          <t>A 11859-2025</t>
        </is>
      </c>
      <c r="B32" s="1" t="n">
        <v>45728</v>
      </c>
      <c r="C32" s="1" t="n">
        <v>45730</v>
      </c>
      <c r="D32" t="inlineStr">
        <is>
          <t>STOCKHOLMS LÄN</t>
        </is>
      </c>
      <c r="E32" t="inlineStr">
        <is>
          <t>UPPLANDS VÄSBY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2025-03-14T17:15:27Z</dcterms:created>
  <dcterms:modified xmlns:dcterms="http://purl.org/dc/terms/" xmlns:xsi="http://www.w3.org/2001/XMLSchema-instance" xsi:type="dcterms:W3CDTF">2025-03-14T17:15:27Z</dcterms:modified>
</cp:coreProperties>
</file>