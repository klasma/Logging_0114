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2">
    <numFmt numFmtId="164" formatCode="yyyy-mm-dd"/>
    <numFmt numFmtId="165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AE13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sheetData>
    <row r="0" ht="15" customHeight="1"/>
    <row r="1" ht="15" customHeight="1">
      <c r="A1" t="inlineStr">
        <is>
          <t>Beteckning</t>
        </is>
      </c>
      <c r="B1" t="inlineStr">
        <is>
          <t>Typ</t>
        </is>
      </c>
      <c r="C1" t="inlineStr">
        <is>
          <t>Åtgärd</t>
        </is>
      </c>
      <c r="D1" t="inlineStr">
        <is>
          <t>Datum</t>
        </is>
      </c>
      <c r="E1" t="inlineStr">
        <is>
          <t>Förändrad</t>
        </is>
      </c>
      <c r="F1" t="inlineStr">
        <is>
          <t>Län</t>
        </is>
      </c>
      <c r="G1" t="inlineStr">
        <is>
          <t>Kommun</t>
        </is>
      </c>
      <c r="H1" t="inlineStr">
        <is>
          <t>Markägare</t>
        </is>
      </c>
      <c r="I1" t="inlineStr">
        <is>
          <t>Area (ha)</t>
        </is>
      </c>
      <c r="J1" t="inlineStr">
        <is>
          <t>Fridlysta</t>
        </is>
      </c>
      <c r="K1" t="inlineStr">
        <is>
          <t>Signalarter</t>
        </is>
      </c>
      <c r="L1" t="inlineStr">
        <is>
          <t>NT</t>
        </is>
      </c>
      <c r="M1" t="inlineStr">
        <is>
          <t>VU</t>
        </is>
      </c>
      <c r="N1" t="inlineStr">
        <is>
          <t>EN</t>
        </is>
      </c>
      <c r="O1" t="inlineStr">
        <is>
          <t>CR</t>
        </is>
      </c>
      <c r="P1" t="inlineStr">
        <is>
          <t>RE</t>
        </is>
      </c>
      <c r="Q1" t="inlineStr">
        <is>
          <t>Rödlistade</t>
        </is>
      </c>
      <c r="R1" t="inlineStr">
        <is>
          <t>Hotade</t>
        </is>
      </c>
      <c r="S1" t="inlineStr">
        <is>
          <t>Alla arter</t>
        </is>
      </c>
      <c r="T1" t="inlineStr">
        <is>
          <t>Fynd</t>
        </is>
      </c>
      <c r="U1" t="inlineStr">
        <is>
          <t>Nya fynd</t>
        </is>
      </c>
      <c r="V1" t="inlineStr">
        <is>
          <t>Artnamn</t>
        </is>
      </c>
      <c r="W1" t="inlineStr">
        <is>
          <t>Artfyndslänk</t>
        </is>
      </c>
      <c r="X1" t="inlineStr">
        <is>
          <t>Kartlänk</t>
        </is>
      </c>
      <c r="Y1" t="inlineStr">
        <is>
          <t>Geotifflänk</t>
        </is>
      </c>
      <c r="Z1" t="inlineStr">
        <is>
          <t>Knärotsbuffertlänk</t>
        </is>
      </c>
      <c r="AA1" t="inlineStr">
        <is>
          <t>Klagomålslänk</t>
        </is>
      </c>
      <c r="AB1" t="inlineStr">
        <is>
          <t>Klagomålsmaillänk</t>
        </is>
      </c>
      <c r="AC1" t="inlineStr">
        <is>
          <t>Tillsynsbegäranslänk</t>
        </is>
      </c>
      <c r="AD1" t="inlineStr">
        <is>
          <t>Tillsynsbegäransmaillänk</t>
        </is>
      </c>
      <c r="AE1" t="inlineStr">
        <is>
          <t>Fågeltillsynsbegäranslänk</t>
        </is>
      </c>
    </row>
    <row r="2" ht="15" customHeight="1">
      <c r="A2" t="inlineStr">
        <is>
          <t>A 5779-2026</t>
        </is>
      </c>
      <c r="B2" t="inlineStr">
        <is>
          <t>avverkningsanmälan</t>
        </is>
      </c>
      <c r="C2" t="inlineStr">
        <is>
          <t>Avverkning för annat ändamål</t>
        </is>
      </c>
      <c r="D2" s="1" t="n">
        <v>46056</v>
      </c>
      <c r="E2" s="1" t="n">
        <v>46284</v>
      </c>
      <c r="F2" t="inlineStr">
        <is>
          <t>STOCKHOLMS LÄN</t>
        </is>
      </c>
      <c r="G2" t="inlineStr">
        <is>
          <t>UPPLANDS VÄSBY</t>
        </is>
      </c>
      <c r="I2" t="n">
        <v>0.8</v>
      </c>
      <c r="J2" t="n">
        <v>1</v>
      </c>
      <c r="K2" t="n">
        <v>0</v>
      </c>
      <c r="L2" t="n">
        <v>1</v>
      </c>
      <c r="M2" t="n">
        <v>0</v>
      </c>
      <c r="N2" t="n">
        <v>0</v>
      </c>
      <c r="O2" t="n">
        <v>0</v>
      </c>
      <c r="P2" t="n">
        <v>0</v>
      </c>
      <c r="Q2" t="n">
        <v>1</v>
      </c>
      <c r="R2" t="n">
        <v>0</v>
      </c>
      <c r="S2" t="n">
        <v>2</v>
      </c>
      <c r="T2" t="n">
        <v>3</v>
      </c>
      <c r="U2" t="n">
        <v>0</v>
      </c>
      <c r="V2" s="2" t="inlineStr">
        <is>
          <t>Tallticka
Blåsippa</t>
        </is>
      </c>
      <c r="W2">
        <f>HYPERLINK("https://klasma.github.io/Logging_0114/artfynd/A 5779-2026 artfynd.xlsx", "A 5779-2026")</f>
        <v/>
      </c>
      <c r="X2">
        <f>HYPERLINK("https://klasma.github.io/Logging_0114/kartor/A 5779-2026 karta.png", "A 5779-2026")</f>
        <v/>
      </c>
      <c r="Y2">
        <f>HYPERLINK("https://klasma.github.io/Logging_0114/kartor_geotiff/A 5779-2026 georefererad karta.tif", "A 5779-2026")</f>
        <v/>
      </c>
      <c r="AA2">
        <f>HYPERLINK("https://klasma.github.io/Logging_0114/klagomål/A 5779-2026 FSC-klagomål.docx", "A 5779-2026")</f>
        <v/>
      </c>
      <c r="AB2">
        <f>HYPERLINK("https://klasma.github.io/Logging_0114/klagomålsmail/A 5779-2026 FSC-klagomål mail.docx", "A 5779-2026")</f>
        <v/>
      </c>
      <c r="AC2">
        <f>HYPERLINK("https://klasma.github.io/Logging_0114/tillsyn/A 5779-2026 tillsynsbegäran.docx", "A 5779-2026")</f>
        <v/>
      </c>
      <c r="AD2">
        <f>HYPERLINK("https://klasma.github.io/Logging_0114/tillsynsmail/A 5779-2026 tillsynsbegäran mail.docx", "A 5779-2026")</f>
        <v/>
      </c>
    </row>
    <row r="3" ht="15" customHeight="1">
      <c r="A3" t="inlineStr">
        <is>
          <t>S 1606-2026</t>
        </is>
      </c>
      <c r="B3" t="inlineStr">
        <is>
          <t>samrådsanmälan</t>
        </is>
      </c>
      <c r="C3" t="inlineStr">
        <is>
          <t>Annan skogsbruksåtgärd</t>
        </is>
      </c>
      <c r="D3" s="1" t="n">
        <v>45806</v>
      </c>
      <c r="E3" s="1" t="n">
        <v>46284</v>
      </c>
      <c r="F3" t="inlineStr">
        <is>
          <t>STOCKHOLMS LÄN</t>
        </is>
      </c>
      <c r="G3" t="inlineStr">
        <is>
          <t>UPPLANDS VÄSBY</t>
        </is>
      </c>
      <c r="I3" t="n">
        <v>5.6</v>
      </c>
      <c r="J3" t="n">
        <v>0</v>
      </c>
      <c r="K3" t="n">
        <v>0</v>
      </c>
      <c r="L3" t="n">
        <v>2</v>
      </c>
      <c r="M3" t="n">
        <v>0</v>
      </c>
      <c r="N3" t="n">
        <v>0</v>
      </c>
      <c r="O3" t="n">
        <v>0</v>
      </c>
      <c r="P3" t="n">
        <v>0</v>
      </c>
      <c r="Q3" t="n">
        <v>2</v>
      </c>
      <c r="R3" t="n">
        <v>0</v>
      </c>
      <c r="S3" t="n">
        <v>2</v>
      </c>
      <c r="T3" t="n">
        <v>2</v>
      </c>
      <c r="U3" t="n">
        <v>1</v>
      </c>
      <c r="V3" s="2" t="inlineStr">
        <is>
          <t>Motaggsvamp
Stor vårtrattskivling</t>
        </is>
      </c>
      <c r="W3">
        <f>HYPERLINK("https://klasma.github.io/Logging_0114/artfynd/S 1606-2026 artfynd.xlsx", "S 1606-2026")</f>
        <v/>
      </c>
      <c r="X3">
        <f>HYPERLINK("https://klasma.github.io/Logging_0114/kartor/S 1606-2026 karta.png", "S 1606-2026")</f>
        <v/>
      </c>
      <c r="Y3">
        <f>HYPERLINK("https://klasma.github.io/Logging_0114/kartor_geotiff/S 1606-2026 georefererad karta.tif", "S 1606-2026")</f>
        <v/>
      </c>
      <c r="AA3">
        <f>HYPERLINK("https://klasma.github.io/Logging_0114/klagomål/S 1606-2026 FSC-klagomål.docx", "S 1606-2026")</f>
        <v/>
      </c>
      <c r="AB3">
        <f>HYPERLINK("https://klasma.github.io/Logging_0114/klagomålsmail/S 1606-2026 FSC-klagomål mail.docx", "S 1606-2026")</f>
        <v/>
      </c>
      <c r="AC3">
        <f>HYPERLINK("https://klasma.github.io/Logging_0114/tillsyn/S 1606-2026 tillsynsbegäran.docx", "S 1606-2026")</f>
        <v/>
      </c>
      <c r="AD3">
        <f>HYPERLINK("https://klasma.github.io/Logging_0114/tillsynsmail/S 1606-2026 tillsynsbegäran mail.docx", "S 1606-2026")</f>
        <v/>
      </c>
    </row>
    <row r="4" ht="15" customHeight="1">
      <c r="A4" t="inlineStr">
        <is>
          <t>A 1053-2022</t>
        </is>
      </c>
      <c r="B4" t="inlineStr">
        <is>
          <t>avverkningsanmälan</t>
        </is>
      </c>
      <c r="C4" t="inlineStr">
        <is>
          <t>Föryngringsavverkning</t>
        </is>
      </c>
      <c r="D4" s="1" t="n">
        <v>44571</v>
      </c>
      <c r="E4" s="1" t="n">
        <v>46284</v>
      </c>
      <c r="F4" t="inlineStr">
        <is>
          <t>STOCKHOLMS LÄN</t>
        </is>
      </c>
      <c r="G4" t="inlineStr">
        <is>
          <t>UPPLANDS VÄSBY</t>
        </is>
      </c>
      <c r="I4" t="n">
        <v>1.7</v>
      </c>
      <c r="J4" t="n">
        <v>0</v>
      </c>
      <c r="K4" t="n">
        <v>0</v>
      </c>
      <c r="L4" t="n">
        <v>0</v>
      </c>
      <c r="M4" t="n">
        <v>0</v>
      </c>
      <c r="N4" t="n">
        <v>0</v>
      </c>
      <c r="O4" t="n">
        <v>0</v>
      </c>
      <c r="P4" t="n">
        <v>0</v>
      </c>
      <c r="Q4" t="n">
        <v>0</v>
      </c>
      <c r="R4" t="n">
        <v>0</v>
      </c>
      <c r="S4" t="n">
        <v>0</v>
      </c>
      <c r="T4" t="n">
        <v>0</v>
      </c>
      <c r="U4" t="n">
        <v>0</v>
      </c>
      <c r="V4" s="2" t="inlineStr"/>
    </row>
    <row r="5" ht="15" customHeight="1">
      <c r="A5" t="inlineStr">
        <is>
          <t>A 50934-2024</t>
        </is>
      </c>
      <c r="B5" t="inlineStr">
        <is>
          <t>avverkningsanmälan</t>
        </is>
      </c>
      <c r="C5" t="inlineStr">
        <is>
          <t>Föryngringsavverkning</t>
        </is>
      </c>
      <c r="D5" s="1" t="n">
        <v>45602</v>
      </c>
      <c r="E5" s="1" t="n">
        <v>46284</v>
      </c>
      <c r="F5" t="inlineStr">
        <is>
          <t>STOCKHOLMS LÄN</t>
        </is>
      </c>
      <c r="G5" t="inlineStr">
        <is>
          <t>UPPLANDS VÄSBY</t>
        </is>
      </c>
      <c r="I5" t="n">
        <v>0.6</v>
      </c>
      <c r="J5" t="n">
        <v>0</v>
      </c>
      <c r="K5" t="n">
        <v>0</v>
      </c>
      <c r="L5" t="n">
        <v>0</v>
      </c>
      <c r="M5" t="n">
        <v>0</v>
      </c>
      <c r="N5" t="n">
        <v>0</v>
      </c>
      <c r="O5" t="n">
        <v>0</v>
      </c>
      <c r="P5" t="n">
        <v>0</v>
      </c>
      <c r="Q5" t="n">
        <v>0</v>
      </c>
      <c r="R5" t="n">
        <v>0</v>
      </c>
      <c r="S5" t="n">
        <v>0</v>
      </c>
      <c r="T5" t="n">
        <v>0</v>
      </c>
      <c r="U5" t="n">
        <v>0</v>
      </c>
      <c r="V5" s="2" t="inlineStr"/>
    </row>
    <row r="6" ht="15" customHeight="1">
      <c r="A6" t="inlineStr">
        <is>
          <t>A 31120-2023</t>
        </is>
      </c>
      <c r="B6" t="inlineStr">
        <is>
          <t>avverkningsanmälan</t>
        </is>
      </c>
      <c r="C6" t="inlineStr">
        <is>
          <t>Avverkning för annat ändamål</t>
        </is>
      </c>
      <c r="D6" s="1" t="n">
        <v>45113</v>
      </c>
      <c r="E6" s="1" t="n">
        <v>46284</v>
      </c>
      <c r="F6" t="inlineStr">
        <is>
          <t>STOCKHOLMS LÄN</t>
        </is>
      </c>
      <c r="G6" t="inlineStr">
        <is>
          <t>UPPLANDS VÄSBY</t>
        </is>
      </c>
      <c r="I6" t="n">
        <v>0.2</v>
      </c>
      <c r="J6" t="n">
        <v>0</v>
      </c>
      <c r="K6" t="n">
        <v>0</v>
      </c>
      <c r="L6" t="n">
        <v>0</v>
      </c>
      <c r="M6" t="n">
        <v>0</v>
      </c>
      <c r="N6" t="n">
        <v>0</v>
      </c>
      <c r="O6" t="n">
        <v>0</v>
      </c>
      <c r="P6" t="n">
        <v>0</v>
      </c>
      <c r="Q6" t="n">
        <v>0</v>
      </c>
      <c r="R6" t="n">
        <v>0</v>
      </c>
      <c r="S6" t="n">
        <v>0</v>
      </c>
      <c r="T6" t="n">
        <v>0</v>
      </c>
      <c r="U6" t="n">
        <v>0</v>
      </c>
      <c r="V6" s="2" t="inlineStr"/>
    </row>
    <row r="7" ht="15" customHeight="1">
      <c r="A7" t="inlineStr">
        <is>
          <t>A 20900-2026</t>
        </is>
      </c>
      <c r="B7" t="inlineStr">
        <is>
          <t>avverkningsanmälan</t>
        </is>
      </c>
      <c r="C7" t="inlineStr">
        <is>
          <t>Föryngringsavverkning</t>
        </is>
      </c>
      <c r="D7" s="1" t="n">
        <v>46142</v>
      </c>
      <c r="E7" s="1" t="n">
        <v>46284</v>
      </c>
      <c r="F7" t="inlineStr">
        <is>
          <t>STOCKHOLMS LÄN</t>
        </is>
      </c>
      <c r="G7" t="inlineStr">
        <is>
          <t>UPPLANDS VÄSBY</t>
        </is>
      </c>
      <c r="I7" t="n">
        <v>2.5</v>
      </c>
      <c r="J7" t="n">
        <v>0</v>
      </c>
      <c r="K7" t="n">
        <v>0</v>
      </c>
      <c r="L7" t="n">
        <v>0</v>
      </c>
      <c r="M7" t="n">
        <v>0</v>
      </c>
      <c r="N7" t="n">
        <v>0</v>
      </c>
      <c r="O7" t="n">
        <v>0</v>
      </c>
      <c r="P7" t="n">
        <v>0</v>
      </c>
      <c r="Q7" t="n">
        <v>0</v>
      </c>
      <c r="R7" t="n">
        <v>0</v>
      </c>
      <c r="S7" t="n">
        <v>0</v>
      </c>
      <c r="T7" t="n">
        <v>0</v>
      </c>
      <c r="U7" t="n">
        <v>0</v>
      </c>
      <c r="V7" s="2" t="inlineStr"/>
    </row>
    <row r="8" ht="15" customHeight="1">
      <c r="A8" t="inlineStr">
        <is>
          <t>A 64431-2023</t>
        </is>
      </c>
      <c r="B8" t="inlineStr">
        <is>
          <t>avverkningsanmälan</t>
        </is>
      </c>
      <c r="C8" t="inlineStr">
        <is>
          <t>Föryngringsavverkning</t>
        </is>
      </c>
      <c r="D8" s="1" t="n">
        <v>45280</v>
      </c>
      <c r="E8" s="1" t="n">
        <v>46284</v>
      </c>
      <c r="F8" t="inlineStr">
        <is>
          <t>STOCKHOLMS LÄN</t>
        </is>
      </c>
      <c r="G8" t="inlineStr">
        <is>
          <t>UPPLANDS VÄSBY</t>
        </is>
      </c>
      <c r="I8" t="n">
        <v>0.5</v>
      </c>
      <c r="J8" t="n">
        <v>0</v>
      </c>
      <c r="K8" t="n">
        <v>0</v>
      </c>
      <c r="L8" t="n">
        <v>0</v>
      </c>
      <c r="M8" t="n">
        <v>0</v>
      </c>
      <c r="N8" t="n">
        <v>0</v>
      </c>
      <c r="O8" t="n">
        <v>0</v>
      </c>
      <c r="P8" t="n">
        <v>0</v>
      </c>
      <c r="Q8" t="n">
        <v>0</v>
      </c>
      <c r="R8" t="n">
        <v>0</v>
      </c>
      <c r="S8" t="n">
        <v>0</v>
      </c>
      <c r="T8" t="n">
        <v>0</v>
      </c>
      <c r="U8" t="n">
        <v>0</v>
      </c>
      <c r="V8" s="2" t="inlineStr"/>
    </row>
    <row r="9" ht="15" customHeight="1">
      <c r="A9" t="inlineStr">
        <is>
          <t>A 56917-2025</t>
        </is>
      </c>
      <c r="B9" t="inlineStr">
        <is>
          <t>avverkningsanmälan</t>
        </is>
      </c>
      <c r="C9" t="inlineStr">
        <is>
          <t>Föryngringsavverkning</t>
        </is>
      </c>
      <c r="D9" s="1" t="n">
        <v>45978</v>
      </c>
      <c r="E9" s="1" t="n">
        <v>46284</v>
      </c>
      <c r="F9" t="inlineStr">
        <is>
          <t>STOCKHOLMS LÄN</t>
        </is>
      </c>
      <c r="G9" t="inlineStr">
        <is>
          <t>UPPLANDS VÄSBY</t>
        </is>
      </c>
      <c r="I9" t="n">
        <v>0.7</v>
      </c>
      <c r="J9" t="n">
        <v>0</v>
      </c>
      <c r="K9" t="n">
        <v>0</v>
      </c>
      <c r="L9" t="n">
        <v>0</v>
      </c>
      <c r="M9" t="n">
        <v>0</v>
      </c>
      <c r="N9" t="n">
        <v>0</v>
      </c>
      <c r="O9" t="n">
        <v>0</v>
      </c>
      <c r="P9" t="n">
        <v>0</v>
      </c>
      <c r="Q9" t="n">
        <v>0</v>
      </c>
      <c r="R9" t="n">
        <v>0</v>
      </c>
      <c r="S9" t="n">
        <v>0</v>
      </c>
      <c r="T9" t="n">
        <v>0</v>
      </c>
      <c r="U9" t="n">
        <v>0</v>
      </c>
      <c r="V9" s="2" t="inlineStr"/>
    </row>
    <row r="10" ht="15" customHeight="1">
      <c r="A10" t="inlineStr">
        <is>
          <t>A 27724-2022</t>
        </is>
      </c>
      <c r="B10" t="inlineStr">
        <is>
          <t>avverkningsanmälan</t>
        </is>
      </c>
      <c r="C10" t="inlineStr">
        <is>
          <t>Föryngringsavverkning</t>
        </is>
      </c>
      <c r="D10" s="1" t="n">
        <v>44743</v>
      </c>
      <c r="E10" s="1" t="n">
        <v>46284</v>
      </c>
      <c r="F10" t="inlineStr">
        <is>
          <t>STOCKHOLMS LÄN</t>
        </is>
      </c>
      <c r="G10" t="inlineStr">
        <is>
          <t>UPPLANDS VÄSBY</t>
        </is>
      </c>
      <c r="I10" t="n">
        <v>1.3</v>
      </c>
      <c r="J10" t="n">
        <v>0</v>
      </c>
      <c r="K10" t="n">
        <v>0</v>
      </c>
      <c r="L10" t="n">
        <v>0</v>
      </c>
      <c r="M10" t="n">
        <v>0</v>
      </c>
      <c r="N10" t="n">
        <v>0</v>
      </c>
      <c r="O10" t="n">
        <v>0</v>
      </c>
      <c r="P10" t="n">
        <v>0</v>
      </c>
      <c r="Q10" t="n">
        <v>0</v>
      </c>
      <c r="R10" t="n">
        <v>0</v>
      </c>
      <c r="S10" t="n">
        <v>0</v>
      </c>
      <c r="T10" t="n">
        <v>0</v>
      </c>
      <c r="U10" t="n">
        <v>0</v>
      </c>
      <c r="V10" s="2" t="inlineStr"/>
    </row>
    <row r="11" ht="15" customHeight="1">
      <c r="A11" t="inlineStr">
        <is>
          <t>A 8748-2022</t>
        </is>
      </c>
      <c r="B11" t="inlineStr">
        <is>
          <t>avverkningsanmälan</t>
        </is>
      </c>
      <c r="C11" t="inlineStr">
        <is>
          <t>Föryngringsavverkning</t>
        </is>
      </c>
      <c r="D11" s="1" t="n">
        <v>44613</v>
      </c>
      <c r="E11" s="1" t="n">
        <v>46284</v>
      </c>
      <c r="F11" t="inlineStr">
        <is>
          <t>STOCKHOLMS LÄN</t>
        </is>
      </c>
      <c r="G11" t="inlineStr">
        <is>
          <t>UPPLANDS VÄSBY</t>
        </is>
      </c>
      <c r="I11" t="n">
        <v>1</v>
      </c>
      <c r="J11" t="n">
        <v>0</v>
      </c>
      <c r="K11" t="n">
        <v>0</v>
      </c>
      <c r="L11" t="n">
        <v>0</v>
      </c>
      <c r="M11" t="n">
        <v>0</v>
      </c>
      <c r="N11" t="n">
        <v>0</v>
      </c>
      <c r="O11" t="n">
        <v>0</v>
      </c>
      <c r="P11" t="n">
        <v>0</v>
      </c>
      <c r="Q11" t="n">
        <v>0</v>
      </c>
      <c r="R11" t="n">
        <v>0</v>
      </c>
      <c r="S11" t="n">
        <v>0</v>
      </c>
      <c r="T11" t="n">
        <v>0</v>
      </c>
      <c r="U11" t="n">
        <v>0</v>
      </c>
      <c r="V11" s="2" t="inlineStr"/>
    </row>
    <row r="12" ht="15" customHeight="1">
      <c r="A12" t="inlineStr">
        <is>
          <t>A 16862-2026</t>
        </is>
      </c>
      <c r="B12" t="inlineStr">
        <is>
          <t>avverkningsanmälan</t>
        </is>
      </c>
      <c r="C12" t="inlineStr">
        <is>
          <t>Föryngringsavverkning</t>
        </is>
      </c>
      <c r="D12" s="1" t="n">
        <v>46113</v>
      </c>
      <c r="E12" s="1" t="n">
        <v>46284</v>
      </c>
      <c r="F12" t="inlineStr">
        <is>
          <t>STOCKHOLMS LÄN</t>
        </is>
      </c>
      <c r="G12" t="inlineStr">
        <is>
          <t>UPPLANDS VÄSBY</t>
        </is>
      </c>
      <c r="I12" t="n">
        <v>3.9</v>
      </c>
      <c r="J12" t="n">
        <v>0</v>
      </c>
      <c r="K12" t="n">
        <v>0</v>
      </c>
      <c r="L12" t="n">
        <v>0</v>
      </c>
      <c r="M12" t="n">
        <v>0</v>
      </c>
      <c r="N12" t="n">
        <v>0</v>
      </c>
      <c r="O12" t="n">
        <v>0</v>
      </c>
      <c r="P12" t="n">
        <v>0</v>
      </c>
      <c r="Q12" t="n">
        <v>0</v>
      </c>
      <c r="R12" t="n">
        <v>0</v>
      </c>
      <c r="S12" t="n">
        <v>0</v>
      </c>
      <c r="T12" t="n">
        <v>0</v>
      </c>
      <c r="U12" t="n">
        <v>0</v>
      </c>
      <c r="V12" s="2" t="inlineStr"/>
    </row>
    <row r="13">
      <c r="A13" t="inlineStr">
        <is>
          <t>A 16854-2026</t>
        </is>
      </c>
      <c r="B13" t="inlineStr">
        <is>
          <t>avverkningsanmälan</t>
        </is>
      </c>
      <c r="C13" t="inlineStr">
        <is>
          <t>Föryngringsavverkning</t>
        </is>
      </c>
      <c r="D13" s="1" t="n">
        <v>46113</v>
      </c>
      <c r="E13" s="1" t="n">
        <v>46284</v>
      </c>
      <c r="F13" t="inlineStr">
        <is>
          <t>STOCKHOLMS LÄN</t>
        </is>
      </c>
      <c r="G13" t="inlineStr">
        <is>
          <t>UPPLANDS VÄSBY</t>
        </is>
      </c>
      <c r="I13" t="n">
        <v>5.5</v>
      </c>
      <c r="J13" t="n">
        <v>0</v>
      </c>
      <c r="K13" t="n">
        <v>0</v>
      </c>
      <c r="L13" t="n">
        <v>0</v>
      </c>
      <c r="M13" t="n">
        <v>0</v>
      </c>
      <c r="N13" t="n">
        <v>0</v>
      </c>
      <c r="O13" t="n">
        <v>0</v>
      </c>
      <c r="P13" t="n">
        <v>0</v>
      </c>
      <c r="Q13" t="n">
        <v>0</v>
      </c>
      <c r="R13" t="n">
        <v>0</v>
      </c>
      <c r="S13" t="n">
        <v>0</v>
      </c>
      <c r="T13" t="n">
        <v>0</v>
      </c>
      <c r="U13" t="n">
        <v>0</v>
      </c>
      <c r="V13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2026-09-19T02:01:51Z</dcterms:created>
  <dcterms:modified xmlns:dcterms="http://purl.org/dc/terms/" xmlns:xsi="http://www.w3.org/2001/XMLSchema-instance" xsi:type="dcterms:W3CDTF">2026-09-19T02:01:51Z</dcterms:modified>
</cp:coreProperties>
</file>