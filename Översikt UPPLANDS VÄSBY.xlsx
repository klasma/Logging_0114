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5779-2026</t>
        </is>
      </c>
      <c r="B2" t="inlineStr">
        <is>
          <t>avverkningsanmälan</t>
        </is>
      </c>
      <c r="C2" t="inlineStr">
        <is>
          <t>Avverkning för annat ändamål</t>
        </is>
      </c>
      <c r="D2" s="1" t="n">
        <v>46056</v>
      </c>
      <c r="E2" s="1" t="n">
        <v>46318</v>
      </c>
      <c r="F2" t="inlineStr">
        <is>
          <t>STOCKHOLMS LÄN</t>
        </is>
      </c>
      <c r="G2" t="inlineStr">
        <is>
          <t>UPPLANDS VÄSBY</t>
        </is>
      </c>
      <c r="I2" t="n">
        <v>0.8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2</v>
      </c>
      <c r="T2" t="n">
        <v>3</v>
      </c>
      <c r="U2" t="n">
        <v>0</v>
      </c>
      <c r="V2" s="2" t="inlineStr">
        <is>
          <t>Tallticka
Blåsippa</t>
        </is>
      </c>
      <c r="W2">
        <f>HYPERLINK("https://klasma.github.io/Logging_0114/artfynd/A 5779-2026 artfynd.xlsx", "A 5779-2026")</f>
        <v/>
      </c>
      <c r="X2">
        <f>HYPERLINK("https://klasma.github.io/Logging_0114/kartor/A 5779-2026 karta.png", "A 5779-2026")</f>
        <v/>
      </c>
      <c r="Y2">
        <f>HYPERLINK("https://klasma.github.io/Logging_0114/kartor_geotiff/A 5779-2026 georefererad karta.tif", "A 5779-2026")</f>
        <v/>
      </c>
      <c r="AA2">
        <f>HYPERLINK("https://klasma.github.io/Logging_0114/klagomål/A 5779-2026 FSC-klagomål.docx", "A 5779-2026")</f>
        <v/>
      </c>
      <c r="AB2">
        <f>HYPERLINK("https://klasma.github.io/Logging_0114/klagomålsmail/A 5779-2026 FSC-klagomål mail.docx", "A 5779-2026")</f>
        <v/>
      </c>
      <c r="AC2">
        <f>HYPERLINK("https://klasma.github.io/Logging_0114/tillsyn/A 5779-2026 tillsynsbegäran.docx", "A 5779-2026")</f>
        <v/>
      </c>
      <c r="AD2">
        <f>HYPERLINK("https://klasma.github.io/Logging_0114/tillsynsmail/A 5779-2026 tillsynsbegäran mail.docx", "A 5779-2026")</f>
        <v/>
      </c>
    </row>
    <row r="3" ht="15" customHeight="1">
      <c r="A3" t="inlineStr">
        <is>
          <t>S 1606-2026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45806</v>
      </c>
      <c r="E3" s="1" t="n">
        <v>46318</v>
      </c>
      <c r="F3" t="inlineStr">
        <is>
          <t>STOCKHOLMS LÄN</t>
        </is>
      </c>
      <c r="G3" t="inlineStr">
        <is>
          <t>UPPLANDS VÄSBY</t>
        </is>
      </c>
      <c r="I3" t="n">
        <v>5.6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2</v>
      </c>
      <c r="T3" t="n">
        <v>2</v>
      </c>
      <c r="U3" t="n">
        <v>1</v>
      </c>
      <c r="V3" s="2" t="inlineStr">
        <is>
          <t>Motaggsvamp
Stor vårtrattskivling</t>
        </is>
      </c>
      <c r="W3">
        <f>HYPERLINK("https://klasma.github.io/Logging_0114/artfynd/S 1606-2026 artfynd.xlsx", "S 1606-2026")</f>
        <v/>
      </c>
      <c r="X3">
        <f>HYPERLINK("https://klasma.github.io/Logging_0114/kartor/S 1606-2026 karta.png", "S 1606-2026")</f>
        <v/>
      </c>
      <c r="Y3">
        <f>HYPERLINK("https://klasma.github.io/Logging_0114/kartor_geotiff/S 1606-2026 georefererad karta.tif", "S 1606-2026")</f>
        <v/>
      </c>
      <c r="AA3">
        <f>HYPERLINK("https://klasma.github.io/Logging_0114/klagomål/S 1606-2026 FSC-klagomål.docx", "S 1606-2026")</f>
        <v/>
      </c>
      <c r="AB3">
        <f>HYPERLINK("https://klasma.github.io/Logging_0114/klagomålsmail/S 1606-2026 FSC-klagomål mail.docx", "S 1606-2026")</f>
        <v/>
      </c>
      <c r="AC3">
        <f>HYPERLINK("https://klasma.github.io/Logging_0114/tillsyn/S 1606-2026 tillsynsbegäran.docx", "S 1606-2026")</f>
        <v/>
      </c>
      <c r="AD3">
        <f>HYPERLINK("https://klasma.github.io/Logging_0114/tillsynsmail/S 1606-2026 tillsynsbegäran mail.docx", "S 1606-2026")</f>
        <v/>
      </c>
    </row>
    <row r="4" ht="15" customHeight="1">
      <c r="A4" t="inlineStr">
        <is>
          <t>A 1053-2022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44571</v>
      </c>
      <c r="E4" s="1" t="n">
        <v>46318</v>
      </c>
      <c r="F4" t="inlineStr">
        <is>
          <t>STOCKHOLMS LÄN</t>
        </is>
      </c>
      <c r="G4" t="inlineStr">
        <is>
          <t>UPPLANDS VÄSBY</t>
        </is>
      </c>
      <c r="I4" t="n">
        <v>1.7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s="2" t="inlineStr"/>
    </row>
    <row r="5" ht="15" customHeight="1">
      <c r="A5" t="inlineStr">
        <is>
          <t>A 27724-2022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44743</v>
      </c>
      <c r="E5" s="1" t="n">
        <v>46318</v>
      </c>
      <c r="F5" t="inlineStr">
        <is>
          <t>STOCKHOLMS LÄN</t>
        </is>
      </c>
      <c r="G5" t="inlineStr">
        <is>
          <t>UPPLANDS VÄSBY</t>
        </is>
      </c>
      <c r="I5" t="n">
        <v>1.3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s="2" t="inlineStr"/>
    </row>
    <row r="6" ht="15" customHeight="1">
      <c r="A6" t="inlineStr">
        <is>
          <t>A 8748-2022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44613</v>
      </c>
      <c r="E6" s="1" t="n">
        <v>46318</v>
      </c>
      <c r="F6" t="inlineStr">
        <is>
          <t>STOCKHOLMS LÄN</t>
        </is>
      </c>
      <c r="G6" t="inlineStr">
        <is>
          <t>UPPLANDS VÄSBY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 ht="15" customHeight="1">
      <c r="A7" t="inlineStr">
        <is>
          <t>A 20900-2026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46142</v>
      </c>
      <c r="E7" s="1" t="n">
        <v>46318</v>
      </c>
      <c r="F7" t="inlineStr">
        <is>
          <t>STOCKHOLMS LÄN</t>
        </is>
      </c>
      <c r="G7" t="inlineStr">
        <is>
          <t>UPPLANDS VÄSBY</t>
        </is>
      </c>
      <c r="I7" t="n">
        <v>2.5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56917-2025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45978</v>
      </c>
      <c r="E8" s="1" t="n">
        <v>46318</v>
      </c>
      <c r="F8" t="inlineStr">
        <is>
          <t>STOCKHOLMS LÄN</t>
        </is>
      </c>
      <c r="G8" t="inlineStr">
        <is>
          <t>UPPLANDS VÄSBY</t>
        </is>
      </c>
      <c r="I8" t="n">
        <v>0.7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16862-2026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46113</v>
      </c>
      <c r="E9" s="1" t="n">
        <v>46318</v>
      </c>
      <c r="F9" t="inlineStr">
        <is>
          <t>STOCKHOLMS LÄN</t>
        </is>
      </c>
      <c r="G9" t="inlineStr">
        <is>
          <t>UPPLANDS VÄSBY</t>
        </is>
      </c>
      <c r="I9" t="n">
        <v>3.9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16854-2026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46113</v>
      </c>
      <c r="E10" s="1" t="n">
        <v>46318</v>
      </c>
      <c r="F10" t="inlineStr">
        <is>
          <t>STOCKHOLMS LÄN</t>
        </is>
      </c>
      <c r="G10" t="inlineStr">
        <is>
          <t>UPPLANDS VÄSBY</t>
        </is>
      </c>
      <c r="I10" t="n">
        <v>5.5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50934-2024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45602</v>
      </c>
      <c r="E11" s="1" t="n">
        <v>46318</v>
      </c>
      <c r="F11" t="inlineStr">
        <is>
          <t>STOCKHOLMS LÄN</t>
        </is>
      </c>
      <c r="G11" t="inlineStr">
        <is>
          <t>UPPLANDS VÄSBY</t>
        </is>
      </c>
      <c r="I11" t="n">
        <v>0.6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31120-2023</t>
        </is>
      </c>
      <c r="B12" t="inlineStr">
        <is>
          <t>avverkningsanmälan</t>
        </is>
      </c>
      <c r="C12" t="inlineStr">
        <is>
          <t>Avverkning för annat ändamål</t>
        </is>
      </c>
      <c r="D12" s="1" t="n">
        <v>45113</v>
      </c>
      <c r="E12" s="1" t="n">
        <v>46318</v>
      </c>
      <c r="F12" t="inlineStr">
        <is>
          <t>STOCKHOLMS LÄN</t>
        </is>
      </c>
      <c r="G12" t="inlineStr">
        <is>
          <t>UPPLANDS VÄSBY</t>
        </is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>
      <c r="A13" t="inlineStr">
        <is>
          <t>A 64431-2023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45280</v>
      </c>
      <c r="E13" s="1" t="n">
        <v>46318</v>
      </c>
      <c r="F13" t="inlineStr">
        <is>
          <t>STOCKHOLMS LÄN</t>
        </is>
      </c>
      <c r="G13" t="inlineStr">
        <is>
          <t>UPPLANDS VÄSBY</t>
        </is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2026-10-23T02:04:14Z</dcterms:created>
  <dcterms:modified xmlns:dcterms="http://purl.org/dc/terms/" xmlns:xsi="http://www.w3.org/2001/XMLSchema-instance" xsi:type="dcterms:W3CDTF">2026-10-23T02:04:14Z</dcterms:modified>
</cp:coreProperties>
</file>